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1" documentId="11_5AC27AE945D52FCF8ADB79CA566545B18651B11E" xr6:coauthVersionLast="47" xr6:coauthVersionMax="47" xr10:uidLastSave="{8848768F-49E8-4C13-BD94-CA5F673935FF}"/>
  <bookViews>
    <workbookView xWindow="-108" yWindow="-108" windowWidth="23256" windowHeight="13176" xr2:uid="{00000000-000D-0000-FFFF-FFFF00000000}"/>
  </bookViews>
  <sheets>
    <sheet name="Monthly Performance" sheetId="1" r:id="rId1"/>
    <sheet name="Strategic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B6" i="2"/>
  <c r="B5" i="2"/>
  <c r="B4" i="2"/>
  <c r="B3" i="2"/>
  <c r="B2" i="2"/>
  <c r="E7" i="1"/>
  <c r="D7" i="1"/>
  <c r="E6" i="1"/>
  <c r="D6" i="1"/>
  <c r="E5" i="1"/>
  <c r="D5" i="1"/>
  <c r="E4" i="1"/>
  <c r="D4" i="1"/>
  <c r="D3" i="1"/>
  <c r="D2" i="1"/>
  <c r="E2" i="1" s="1"/>
</calcChain>
</file>

<file path=xl/sharedStrings.xml><?xml version="1.0" encoding="utf-8"?>
<sst xmlns="http://schemas.openxmlformats.org/spreadsheetml/2006/main" count="18" uniqueCount="18">
  <si>
    <t>Month</t>
  </si>
  <si>
    <t>Revenue</t>
  </si>
  <si>
    <t>Expenses</t>
  </si>
  <si>
    <t>Net Profit</t>
  </si>
  <si>
    <t>Profit Margin (%)</t>
  </si>
  <si>
    <t>January</t>
  </si>
  <si>
    <t>February</t>
  </si>
  <si>
    <t>March</t>
  </si>
  <si>
    <t>April</t>
  </si>
  <si>
    <t>May</t>
  </si>
  <si>
    <t>June</t>
  </si>
  <si>
    <t>Metric</t>
  </si>
  <si>
    <t>Value</t>
  </si>
  <si>
    <t>Average Monthly Profit</t>
  </si>
  <si>
    <t>Best Monthly Profit</t>
  </si>
  <si>
    <t>Worst Monthly Profit</t>
  </si>
  <si>
    <t>Total H1 Revenue</t>
  </si>
  <si>
    <t>Performance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</si>
</sst>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7" sqref="E7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50000</v>
      </c>
      <c r="C2">
        <v>32000</v>
      </c>
      <c r="D2">
        <f t="shared" ref="D2:D7" si="0">B2-C2</f>
        <v>18000</v>
      </c>
      <c r="E2">
        <f t="shared" ref="E2:E7" si="1">D2/B2</f>
        <v>0.36</v>
      </c>
    </row>
    <row r="3" spans="1:5" x14ac:dyDescent="0.3">
      <c r="A3" t="s">
        <v>6</v>
      </c>
      <c r="B3">
        <v>58000</v>
      </c>
      <c r="C3">
        <v>34000</v>
      </c>
      <c r="D3">
        <f t="shared" si="0"/>
        <v>24000</v>
      </c>
      <c r="E3">
        <f>D3/B3</f>
        <v>0.41379310344827586</v>
      </c>
    </row>
    <row r="4" spans="1:5" x14ac:dyDescent="0.3">
      <c r="A4" t="s">
        <v>7</v>
      </c>
      <c r="B4">
        <v>45000</v>
      </c>
      <c r="C4">
        <v>31000</v>
      </c>
      <c r="D4">
        <f t="shared" si="0"/>
        <v>14000</v>
      </c>
      <c r="E4">
        <f t="shared" si="1"/>
        <v>0.31111111111111112</v>
      </c>
    </row>
    <row r="5" spans="1:5" x14ac:dyDescent="0.3">
      <c r="A5" t="s">
        <v>8</v>
      </c>
      <c r="B5">
        <v>62000</v>
      </c>
      <c r="C5">
        <v>38000</v>
      </c>
      <c r="D5">
        <f t="shared" si="0"/>
        <v>24000</v>
      </c>
      <c r="E5">
        <f t="shared" si="1"/>
        <v>0.38709677419354838</v>
      </c>
    </row>
    <row r="6" spans="1:5" x14ac:dyDescent="0.3">
      <c r="A6" t="s">
        <v>9</v>
      </c>
      <c r="B6">
        <v>71000</v>
      </c>
      <c r="C6">
        <v>42000</v>
      </c>
      <c r="D6">
        <f t="shared" si="0"/>
        <v>29000</v>
      </c>
      <c r="E6">
        <f t="shared" si="1"/>
        <v>0.40845070422535212</v>
      </c>
    </row>
    <row r="7" spans="1:5" x14ac:dyDescent="0.3">
      <c r="A7" t="s">
        <v>10</v>
      </c>
      <c r="B7">
        <v>68000</v>
      </c>
      <c r="C7">
        <v>45000</v>
      </c>
      <c r="D7">
        <f t="shared" si="0"/>
        <v>23000</v>
      </c>
      <c r="E7">
        <f t="shared" si="1"/>
        <v>0.33823529411764708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sheetData>
    <row r="1" spans="1:2" s="1" customFormat="1" x14ac:dyDescent="0.3">
      <c r="A1" s="1" t="s">
        <v>11</v>
      </c>
      <c r="B1" s="1" t="s">
        <v>12</v>
      </c>
    </row>
    <row r="2" spans="1:2" x14ac:dyDescent="0.3">
      <c r="A2" t="s">
        <v>13</v>
      </c>
      <c r="B2">
        <f>AVERAGE('Monthly Performance'!D2:D7)</f>
        <v>22000</v>
      </c>
    </row>
    <row r="3" spans="1:2" x14ac:dyDescent="0.3">
      <c r="A3" t="s">
        <v>14</v>
      </c>
      <c r="B3">
        <f>MAX('Monthly Performance'!D2:D7)</f>
        <v>29000</v>
      </c>
    </row>
    <row r="4" spans="1:2" x14ac:dyDescent="0.3">
      <c r="A4" t="s">
        <v>15</v>
      </c>
      <c r="B4">
        <f>MIN('Monthly Performance'!D2:D7)</f>
        <v>14000</v>
      </c>
    </row>
    <row r="5" spans="1:2" x14ac:dyDescent="0.3">
      <c r="A5" t="s">
        <v>16</v>
      </c>
      <c r="B5">
        <f>SUM('Monthly Performance'!B2:B7)</f>
        <v>354000</v>
      </c>
    </row>
    <row r="6" spans="1:2" x14ac:dyDescent="0.3">
      <c r="A6" t="s">
        <v>17</v>
      </c>
      <c r="B6" t="str">
        <f>IF(D6&gt;D2,"IMPROVING","DECLINING")</f>
        <v>DECLINING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Performance</vt:lpstr>
      <vt:lpstr>Strategic Analysis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2026-02-21T20:59:24Z</dcterms:created>
  <dcterms:modified xsi:type="dcterms:W3CDTF">2026-02-22T08:10:37Z</dcterms:modified>
  <cp:category/>
</cp:coreProperties>
</file>